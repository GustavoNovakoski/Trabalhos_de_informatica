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ell\Documents\Sofia\GUSTAVO\Docs\"/>
    </mc:Choice>
  </mc:AlternateContent>
  <xr:revisionPtr revIDLastSave="0" documentId="13_ncr:1_{A65331DD-7E5E-4320-847C-9446A0A38015}" xr6:coauthVersionLast="47" xr6:coauthVersionMax="47" xr10:uidLastSave="{00000000-0000-0000-0000-000000000000}"/>
  <bookViews>
    <workbookView xWindow="-120" yWindow="-120" windowWidth="20730" windowHeight="11160" activeTab="2" xr2:uid="{784C195F-87EE-417C-9713-A95B33E0F867}"/>
  </bookViews>
  <sheets>
    <sheet name="Planilha1" sheetId="1" r:id="rId1"/>
    <sheet name="Planilha2" sheetId="2" r:id="rId2"/>
    <sheet name="Planilha4" sheetId="4" r:id="rId3"/>
  </sheets>
  <calcPr calcId="191029"/>
  <pivotCaches>
    <pivotCache cacheId="2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4" l="1" a="1"/>
  <c r="G8" i="4" s="1"/>
  <c r="G7" i="4" a="1"/>
  <c r="G7" i="4" s="1"/>
  <c r="G6" i="4" a="1"/>
  <c r="G6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<sst xmlns="http://schemas.openxmlformats.org/spreadsheetml/2006/main" count="55" uniqueCount="30">
  <si>
    <t xml:space="preserve">Nome </t>
  </si>
  <si>
    <t>Função</t>
  </si>
  <si>
    <t>Tempo de contribuição</t>
  </si>
  <si>
    <t>Salário</t>
  </si>
  <si>
    <t>Gustavo Pires</t>
  </si>
  <si>
    <t>Gabriel Pires</t>
  </si>
  <si>
    <t>Reinaldo Cardoso</t>
  </si>
  <si>
    <t>Alisson Silva</t>
  </si>
  <si>
    <t>Davi Souza</t>
  </si>
  <si>
    <t>Patrick Pinto</t>
  </si>
  <si>
    <t>Wesley Araujo</t>
  </si>
  <si>
    <t>Claudemir Reis</t>
  </si>
  <si>
    <t>Ricardo Silva</t>
  </si>
  <si>
    <t>Rogério Silva</t>
  </si>
  <si>
    <t>Carlos Eduardo</t>
  </si>
  <si>
    <t>Lairton Aguetoni</t>
  </si>
  <si>
    <t>Junior Rodrigues</t>
  </si>
  <si>
    <t>Estephania Pires</t>
  </si>
  <si>
    <t>Rodrigo Aguetoni</t>
  </si>
  <si>
    <t>Operador de Empilhadeira</t>
  </si>
  <si>
    <t>Auxiliar Administrativo</t>
  </si>
  <si>
    <t>Motorista</t>
  </si>
  <si>
    <t>Auxiliar Geral</t>
  </si>
  <si>
    <t>Gerente</t>
  </si>
  <si>
    <t>Total Geral</t>
  </si>
  <si>
    <t>Soma de Salário</t>
  </si>
  <si>
    <t>Nome</t>
  </si>
  <si>
    <t>Salário:</t>
  </si>
  <si>
    <t>Tempo:</t>
  </si>
  <si>
    <t>Função: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</si>
</sst>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1" applyFont="1"/>
    <xf numFmtId="44" fontId="0" fillId="0" borderId="0" xfId="0" applyNumberFormat="1"/>
    <xf numFmtId="0" fontId="0" fillId="0" borderId="1" xfId="0" applyBorder="1"/>
    <xf numFmtId="44" fontId="0" fillId="0" borderId="1" xfId="1" applyFont="1" applyBorder="1"/>
    <xf numFmtId="1" fontId="0" fillId="0" borderId="1" xfId="1" applyNumberFormat="1" applyFont="1" applyBorder="1"/>
  </cellXfs>
  <cellStyles count="2">
    <cellStyle name="Moeda" xfId="1" builtinId="4"/>
    <cellStyle name="Normal" xfId="0" builtinId="0"/>
  </cellStyles>
  <dxfs count="2">
    <dxf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[Tarefa Informática - Gustavo.xlsm]Planilha2!Tabela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Planilha2!$B$1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Planilha2!$A$2:$A$17</c:f>
              <c:strCache>
                <c:ptCount val="15"/>
                <c:pt idx="0">
                  <c:v>Alisson Silva</c:v>
                </c:pt>
                <c:pt idx="1">
                  <c:v>Carlos Eduardo</c:v>
                </c:pt>
                <c:pt idx="2">
                  <c:v>Claudemir Reis</c:v>
                </c:pt>
                <c:pt idx="3">
                  <c:v>Davi Souza</c:v>
                </c:pt>
                <c:pt idx="4">
                  <c:v>Estephania Pires</c:v>
                </c:pt>
                <c:pt idx="5">
                  <c:v>Gabriel Pires</c:v>
                </c:pt>
                <c:pt idx="6">
                  <c:v>Gustavo Pires</c:v>
                </c:pt>
                <c:pt idx="7">
                  <c:v>Junior Rodrigues</c:v>
                </c:pt>
                <c:pt idx="8">
                  <c:v>Lairton Aguetoni</c:v>
                </c:pt>
                <c:pt idx="9">
                  <c:v>Patrick Pinto</c:v>
                </c:pt>
                <c:pt idx="10">
                  <c:v>Reinaldo Cardoso</c:v>
                </c:pt>
                <c:pt idx="11">
                  <c:v>Ricardo Silva</c:v>
                </c:pt>
                <c:pt idx="12">
                  <c:v>Rodrigo Aguetoni</c:v>
                </c:pt>
                <c:pt idx="13">
                  <c:v>Rogério Silva</c:v>
                </c:pt>
                <c:pt idx="14">
                  <c:v>Wesley Araujo</c:v>
                </c:pt>
              </c:strCache>
            </c:strRef>
          </c:cat>
          <c:val>
            <c:numRef>
              <c:f>Planilha2!$B$2:$B$17</c:f>
              <c:numCache>
                <c:formatCode>_("R$"* #,##0.00_);_("R$"* \(#,##0.00\);_("R$"* "-"??_);_(@_)</c:formatCode>
                <c:ptCount val="15"/>
                <c:pt idx="0">
                  <c:v>1800</c:v>
                </c:pt>
                <c:pt idx="1">
                  <c:v>5000</c:v>
                </c:pt>
                <c:pt idx="2">
                  <c:v>1800</c:v>
                </c:pt>
                <c:pt idx="3">
                  <c:v>1800</c:v>
                </c:pt>
                <c:pt idx="4">
                  <c:v>1800</c:v>
                </c:pt>
                <c:pt idx="5">
                  <c:v>2000</c:v>
                </c:pt>
                <c:pt idx="6">
                  <c:v>2000</c:v>
                </c:pt>
                <c:pt idx="7">
                  <c:v>1800</c:v>
                </c:pt>
                <c:pt idx="8">
                  <c:v>1800</c:v>
                </c:pt>
                <c:pt idx="9">
                  <c:v>1800</c:v>
                </c:pt>
                <c:pt idx="10">
                  <c:v>2500</c:v>
                </c:pt>
                <c:pt idx="11">
                  <c:v>2500</c:v>
                </c:pt>
                <c:pt idx="12">
                  <c:v>1800</c:v>
                </c:pt>
                <c:pt idx="13">
                  <c:v>1800</c:v>
                </c:pt>
                <c:pt idx="14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3E-4063-9BC8-87F4B2765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5152128"/>
        <c:axId val="2116631168"/>
      </c:barChart>
      <c:catAx>
        <c:axId val="211515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6631168"/>
        <c:crosses val="autoZero"/>
        <c:auto val="1"/>
        <c:lblAlgn val="ctr"/>
        <c:lblOffset val="100"/>
        <c:noMultiLvlLbl val="0"/>
      </c:catAx>
      <c:valAx>
        <c:axId val="211663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515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B$2" fmlaRange="Planilha1!$A$1:$A$16" noThreeD="1" sel="3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176212</xdr:colOff>
      <xdr:row>2</xdr:row>
      <xdr:rowOff>176212</xdr:rowOff>
    </xdr:from>
    <xdr:to>
      <xdr:col>8</xdr:col>
      <xdr:colOff>490537</xdr:colOff>
      <xdr:row>17</xdr:row>
      <xdr:rowOff>61912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69E6D42-24F2-4773-25C2-87ED4B6538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</xdr:row>
          <xdr:rowOff>28575</xdr:rowOff>
        </xdr:from>
        <xdr:to>
          <xdr:col>8</xdr:col>
          <xdr:colOff>590550</xdr:colOff>
          <xdr:row>3</xdr:row>
          <xdr:rowOff>171450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9</xdr:row>
          <xdr:rowOff>9525</xdr:rowOff>
        </xdr:from>
        <xdr:to>
          <xdr:col>7</xdr:col>
          <xdr:colOff>485775</xdr:colOff>
          <xdr:row>12</xdr:row>
          <xdr:rowOff>85725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179.796416319441" createdVersion="8" refreshedVersion="8" minRefreshableVersion="3" recordCount="15" xr:uid="{F34A7CE0-EE69-4ADE-976C-78A96900BE22}">
  <cacheSource type="worksheet">
    <worksheetSource name="Tabela1"/>
  </cacheSource>
  <cacheFields count="4">
    <cacheField name="Nome " numFmtId="0">
      <sharedItems count="15">
        <s v="Gustavo Pires"/>
        <s v="Gabriel Pires"/>
        <s v="Reinaldo Cardoso"/>
        <s v="Alisson Silva"/>
        <s v="Davi Souza"/>
        <s v="Patrick Pinto"/>
        <s v="Wesley Araujo"/>
        <s v="Claudemir Reis"/>
        <s v="Ricardo Silva"/>
        <s v="Rogério Silva"/>
        <s v="Carlos Eduardo"/>
        <s v="Lairton Aguetoni"/>
        <s v="Junior Rodrigues"/>
        <s v="Estephania Pires"/>
        <s v="Rodrigo Aguetoni"/>
      </sharedItems>
    </cacheField>
    <cacheField name="Tempo de contribuição" numFmtId="0">
      <sharedItems containsSemiMixedTypes="0" containsString="0" containsNumber="1" containsInteger="1" minValue="1" maxValue="5"/>
    </cacheField>
    <cacheField name="Função" numFmtId="0">
      <sharedItems/>
    </cacheField>
    <cacheField name="Salário" numFmtId="44">
      <sharedItems containsSemiMixedTypes="0" containsString="0" containsNumber="1" containsInteger="1" minValue="1800" maxValue="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n v="3"/>
    <s v="Operador de Empilhadeira"/>
    <n v="2000"/>
  </r>
  <r>
    <x v="1"/>
    <n v="3"/>
    <s v="Auxiliar Administrativo"/>
    <n v="2000"/>
  </r>
  <r>
    <x v="2"/>
    <n v="1"/>
    <s v="Motorista"/>
    <n v="2500"/>
  </r>
  <r>
    <x v="3"/>
    <n v="1"/>
    <s v="Auxiliar Geral"/>
    <n v="1800"/>
  </r>
  <r>
    <x v="4"/>
    <n v="2"/>
    <s v="Auxiliar Geral"/>
    <n v="1800"/>
  </r>
  <r>
    <x v="5"/>
    <n v="2"/>
    <s v="Auxiliar Geral"/>
    <n v="1800"/>
  </r>
  <r>
    <x v="6"/>
    <n v="5"/>
    <s v="Auxiliar Geral"/>
    <n v="1800"/>
  </r>
  <r>
    <x v="7"/>
    <n v="1"/>
    <s v="Auxiliar Geral"/>
    <n v="1800"/>
  </r>
  <r>
    <x v="8"/>
    <n v="3"/>
    <s v="Motorista"/>
    <n v="2500"/>
  </r>
  <r>
    <x v="9"/>
    <n v="2"/>
    <s v="Auxiliar Geral"/>
    <n v="1800"/>
  </r>
  <r>
    <x v="10"/>
    <n v="2"/>
    <s v="Gerente"/>
    <n v="5000"/>
  </r>
  <r>
    <x v="11"/>
    <n v="3"/>
    <s v="Auxiliar Geral"/>
    <n v="1800"/>
  </r>
  <r>
    <x v="12"/>
    <n v="3"/>
    <s v="Auxiliar Geral"/>
    <n v="1800"/>
  </r>
  <r>
    <x v="13"/>
    <n v="2"/>
    <s v="Auxiliar Geral"/>
    <n v="1800"/>
  </r>
  <r>
    <x v="14"/>
    <n v="1"/>
    <s v="Auxiliar Geral"/>
    <n v="1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6B54C6-A659-4269-8834-6163EB39AD76}" name="Tabela dinâmica2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Nome">
  <location ref="A1:B17" firstHeaderRow="1" firstDataRow="1" firstDataCol="1"/>
  <pivotFields count="4">
    <pivotField axis="axisRow" showAll="0">
      <items count="16">
        <item x="3"/>
        <item x="10"/>
        <item x="7"/>
        <item x="4"/>
        <item x="13"/>
        <item x="1"/>
        <item x="0"/>
        <item x="12"/>
        <item x="11"/>
        <item x="5"/>
        <item x="2"/>
        <item x="8"/>
        <item x="14"/>
        <item x="9"/>
        <item x="6"/>
        <item t="default"/>
      </items>
    </pivotField>
    <pivotField showAll="0"/>
    <pivotField showAll="0"/>
    <pivotField dataField="1" showAl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oma de Salário" fld="3" baseField="0" baseItem="0" numFmtId="44"/>
  </dataFields>
  <formats count="1">
    <format dxfId="0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5E19AF-9D2B-4364-A18E-2F3F42F17084}" name="Tabela1" displayName="Tabela1" ref="A1:D16" totalsRowShown="0" headerRowDxfId="1">
  <autoFilter ref="A1:D16" xr:uid="{FF5E19AF-9D2B-4364-A18E-2F3F42F17084}"/>
  <tableColumns count="4">
    <tableColumn id="1" xr3:uid="{47122A09-0F45-4570-8559-52D1DF6A0066}" name="Nome "/>
    <tableColumn id="2" xr3:uid="{5944D6A2-694E-4D10-B3C0-746CC818BF61}" name="Tempo de contribuição"/>
    <tableColumn id="3" xr3:uid="{1F3B9F3E-2E3B-48BA-8033-CF437D84F238}" name="Função"/>
    <tableColumn id="4" xr3:uid="{839D8E8E-C5B8-4AF7-B80F-EA36C7AAA710}" name="Salário" dataCellStyle="Moeda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0E1AA-B1C7-47CA-992D-B96A85DCA892}">
  <sheetPr codeName="Planilha1"/>
  <dimension ref="A1:D16"/>
  <sheetViews>
    <sheetView workbookViewId="0">
      <selection activeCell="C23" sqref="C23"/>
    </sheetView>
  </sheetViews>
  <sheetFormatPr defaultRowHeight="15" x14ac:dyDescent="0.25"/>
  <cols>
    <col min="1" max="1" width="14.5" bestFit="1" customWidth="1"/>
    <col min="2" max="2" width="20.75" customWidth="1"/>
    <col min="3" max="3" width="21" bestFit="1" customWidth="1"/>
    <col min="4" max="4" width="11.5" bestFit="1" customWidth="1"/>
  </cols>
  <sheetData>
    <row r="1" spans="1:4" x14ac:dyDescent="0.25">
      <c r="A1" s="1" t="s">
        <v>0</v>
      </c>
      <c r="B1" s="1" t="s">
        <v>2</v>
      </c>
      <c r="C1" s="1" t="s">
        <v>1</v>
      </c>
      <c r="D1" s="1" t="s">
        <v>3</v>
      </c>
    </row>
    <row r="2" spans="1:4" x14ac:dyDescent="0.25">
      <c r="A2" t="s">
        <v>4</v>
      </c>
      <c r="B2">
        <v>3</v>
      </c>
      <c r="C2" t="s">
        <v>19</v>
      </c>
      <c r="D2" s="4">
        <v>2000</v>
      </c>
    </row>
    <row r="3" spans="1:4" x14ac:dyDescent="0.25">
      <c r="A3" t="s">
        <v>5</v>
      </c>
      <c r="B3">
        <v>3</v>
      </c>
      <c r="C3" t="s">
        <v>20</v>
      </c>
      <c r="D3" s="4">
        <v>2000</v>
      </c>
    </row>
    <row r="4" spans="1:4" x14ac:dyDescent="0.25">
      <c r="A4" t="s">
        <v>6</v>
      </c>
      <c r="B4">
        <v>1</v>
      </c>
      <c r="C4" t="s">
        <v>21</v>
      </c>
      <c r="D4" s="4">
        <v>2500</v>
      </c>
    </row>
    <row r="5" spans="1:4" x14ac:dyDescent="0.25">
      <c r="A5" t="s">
        <v>7</v>
      </c>
      <c r="B5">
        <v>1</v>
      </c>
      <c r="C5" t="s">
        <v>22</v>
      </c>
      <c r="D5" s="4">
        <v>1800</v>
      </c>
    </row>
    <row r="6" spans="1:4" x14ac:dyDescent="0.25">
      <c r="A6" t="s">
        <v>8</v>
      </c>
      <c r="B6">
        <v>2</v>
      </c>
      <c r="C6" t="s">
        <v>22</v>
      </c>
      <c r="D6" s="4">
        <v>1800</v>
      </c>
    </row>
    <row r="7" spans="1:4" x14ac:dyDescent="0.25">
      <c r="A7" t="s">
        <v>9</v>
      </c>
      <c r="B7">
        <v>2</v>
      </c>
      <c r="C7" t="s">
        <v>22</v>
      </c>
      <c r="D7" s="4">
        <v>1800</v>
      </c>
    </row>
    <row r="8" spans="1:4" x14ac:dyDescent="0.25">
      <c r="A8" t="s">
        <v>10</v>
      </c>
      <c r="B8">
        <v>5</v>
      </c>
      <c r="C8" t="s">
        <v>22</v>
      </c>
      <c r="D8" s="4">
        <v>1800</v>
      </c>
    </row>
    <row r="9" spans="1:4" x14ac:dyDescent="0.25">
      <c r="A9" t="s">
        <v>11</v>
      </c>
      <c r="B9">
        <v>1</v>
      </c>
      <c r="C9" t="s">
        <v>22</v>
      </c>
      <c r="D9" s="4">
        <v>1800</v>
      </c>
    </row>
    <row r="10" spans="1:4" x14ac:dyDescent="0.25">
      <c r="A10" t="s">
        <v>12</v>
      </c>
      <c r="B10">
        <v>3</v>
      </c>
      <c r="C10" t="s">
        <v>21</v>
      </c>
      <c r="D10" s="4">
        <v>2500</v>
      </c>
    </row>
    <row r="11" spans="1:4" x14ac:dyDescent="0.25">
      <c r="A11" t="s">
        <v>13</v>
      </c>
      <c r="B11">
        <v>2</v>
      </c>
      <c r="C11" t="s">
        <v>22</v>
      </c>
      <c r="D11" s="4">
        <v>1800</v>
      </c>
    </row>
    <row r="12" spans="1:4" x14ac:dyDescent="0.25">
      <c r="A12" t="s">
        <v>14</v>
      </c>
      <c r="B12">
        <v>2</v>
      </c>
      <c r="C12" t="s">
        <v>23</v>
      </c>
      <c r="D12" s="4">
        <v>5000</v>
      </c>
    </row>
    <row r="13" spans="1:4" x14ac:dyDescent="0.25">
      <c r="A13" t="s">
        <v>15</v>
      </c>
      <c r="B13">
        <v>3</v>
      </c>
      <c r="C13" t="s">
        <v>22</v>
      </c>
      <c r="D13" s="4">
        <v>1800</v>
      </c>
    </row>
    <row r="14" spans="1:4" x14ac:dyDescent="0.25">
      <c r="A14" t="s">
        <v>16</v>
      </c>
      <c r="B14">
        <v>3</v>
      </c>
      <c r="C14" t="s">
        <v>22</v>
      </c>
      <c r="D14" s="4">
        <v>1800</v>
      </c>
    </row>
    <row r="15" spans="1:4" x14ac:dyDescent="0.25">
      <c r="A15" t="s">
        <v>17</v>
      </c>
      <c r="B15">
        <v>2</v>
      </c>
      <c r="C15" t="s">
        <v>22</v>
      </c>
      <c r="D15" s="4">
        <v>1800</v>
      </c>
    </row>
    <row r="16" spans="1:4" x14ac:dyDescent="0.25">
      <c r="A16" t="s">
        <v>18</v>
      </c>
      <c r="B16">
        <v>1</v>
      </c>
      <c r="C16" t="s">
        <v>22</v>
      </c>
      <c r="D16" s="4">
        <v>1800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DD19F-C485-4E5D-ADDF-B75BB2346B36}">
  <sheetPr codeName="Planilha2"/>
  <dimension ref="A1:B17"/>
  <sheetViews>
    <sheetView workbookViewId="0">
      <selection activeCell="E20" sqref="E20"/>
    </sheetView>
  </sheetViews>
  <sheetFormatPr defaultRowHeight="15" x14ac:dyDescent="0.25"/>
  <cols>
    <col min="1" max="1" width="14.5" bestFit="1" customWidth="1"/>
    <col min="2" max="2" width="13.5" bestFit="1" customWidth="1"/>
    <col min="3" max="3" width="11.375" bestFit="1" customWidth="1"/>
    <col min="4" max="4" width="7.375" bestFit="1" customWidth="1"/>
    <col min="5" max="5" width="8.375" bestFit="1" customWidth="1"/>
    <col min="6" max="6" width="21.75" bestFit="1" customWidth="1"/>
    <col min="7" max="7" width="9.375" bestFit="1" customWidth="1"/>
  </cols>
  <sheetData>
    <row r="1" spans="1:2" x14ac:dyDescent="0.25">
      <c r="A1" s="2" t="s">
        <v>26</v>
      </c>
      <c r="B1" t="s">
        <v>25</v>
      </c>
    </row>
    <row r="2" spans="1:2" x14ac:dyDescent="0.25">
      <c r="A2" s="3" t="s">
        <v>7</v>
      </c>
      <c r="B2" s="5">
        <v>1800</v>
      </c>
    </row>
    <row r="3" spans="1:2" x14ac:dyDescent="0.25">
      <c r="A3" s="3" t="s">
        <v>14</v>
      </c>
      <c r="B3" s="5">
        <v>5000</v>
      </c>
    </row>
    <row r="4" spans="1:2" x14ac:dyDescent="0.25">
      <c r="A4" s="3" t="s">
        <v>11</v>
      </c>
      <c r="B4" s="5">
        <v>1800</v>
      </c>
    </row>
    <row r="5" spans="1:2" x14ac:dyDescent="0.25">
      <c r="A5" s="3" t="s">
        <v>8</v>
      </c>
      <c r="B5" s="5">
        <v>1800</v>
      </c>
    </row>
    <row r="6" spans="1:2" x14ac:dyDescent="0.25">
      <c r="A6" s="3" t="s">
        <v>17</v>
      </c>
      <c r="B6" s="5">
        <v>1800</v>
      </c>
    </row>
    <row r="7" spans="1:2" x14ac:dyDescent="0.25">
      <c r="A7" s="3" t="s">
        <v>5</v>
      </c>
      <c r="B7" s="5">
        <v>2000</v>
      </c>
    </row>
    <row r="8" spans="1:2" x14ac:dyDescent="0.25">
      <c r="A8" s="3" t="s">
        <v>4</v>
      </c>
      <c r="B8" s="5">
        <v>2000</v>
      </c>
    </row>
    <row r="9" spans="1:2" x14ac:dyDescent="0.25">
      <c r="A9" s="3" t="s">
        <v>16</v>
      </c>
      <c r="B9" s="5">
        <v>1800</v>
      </c>
    </row>
    <row r="10" spans="1:2" x14ac:dyDescent="0.25">
      <c r="A10" s="3" t="s">
        <v>15</v>
      </c>
      <c r="B10" s="5">
        <v>1800</v>
      </c>
    </row>
    <row r="11" spans="1:2" x14ac:dyDescent="0.25">
      <c r="A11" s="3" t="s">
        <v>9</v>
      </c>
      <c r="B11" s="5">
        <v>1800</v>
      </c>
    </row>
    <row r="12" spans="1:2" x14ac:dyDescent="0.25">
      <c r="A12" s="3" t="s">
        <v>6</v>
      </c>
      <c r="B12" s="5">
        <v>2500</v>
      </c>
    </row>
    <row r="13" spans="1:2" x14ac:dyDescent="0.25">
      <c r="A13" s="3" t="s">
        <v>12</v>
      </c>
      <c r="B13" s="5">
        <v>2500</v>
      </c>
    </row>
    <row r="14" spans="1:2" x14ac:dyDescent="0.25">
      <c r="A14" s="3" t="s">
        <v>18</v>
      </c>
      <c r="B14" s="5">
        <v>1800</v>
      </c>
    </row>
    <row r="15" spans="1:2" x14ac:dyDescent="0.25">
      <c r="A15" s="3" t="s">
        <v>13</v>
      </c>
      <c r="B15" s="5">
        <v>1800</v>
      </c>
    </row>
    <row r="16" spans="1:2" x14ac:dyDescent="0.25">
      <c r="A16" s="3" t="s">
        <v>10</v>
      </c>
      <c r="B16" s="5">
        <v>1800</v>
      </c>
    </row>
    <row r="17" spans="1:2" x14ac:dyDescent="0.25">
      <c r="A17" s="3" t="s">
        <v>24</v>
      </c>
      <c r="B17" s="5">
        <v>32000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8644-A116-4EF8-BE47-91FEA6445E83}">
  <sheetPr codeName="Planilha3"/>
  <dimension ref="B2:G8"/>
  <sheetViews>
    <sheetView tabSelected="1" workbookViewId="0">
      <selection activeCell="K10" sqref="K10"/>
    </sheetView>
  </sheetViews>
  <sheetFormatPr defaultRowHeight="15" x14ac:dyDescent="0.25"/>
  <cols>
    <col min="7" max="7" width="19" bestFit="1" customWidth="1"/>
  </cols>
  <sheetData>
    <row r="2" spans="2:7" x14ac:dyDescent="0.25">
      <c r="B2">
        <v>3</v>
      </c>
    </row>
    <row r="6" spans="2:7" x14ac:dyDescent="0.25">
      <c r="F6" s="6" t="s">
        <v>27</v>
      </c>
      <c r="G6" s="7" cm="1">
        <f t="array" ref="G6">IF($B$2&gt;2,INDEX(Planilha1!A:D,Planilha4!$B$2,4),"-")</f>
        <v>2000</v>
      </c>
    </row>
    <row r="7" spans="2:7" x14ac:dyDescent="0.25">
      <c r="F7" s="6" t="s">
        <v>28</v>
      </c>
      <c r="G7" s="8" cm="1">
        <f t="array" ref="G7">IF($B$2&gt;2,INDEX(Planilha1!A:D,Planilha4!$B$2,2),"-")</f>
        <v>3</v>
      </c>
    </row>
    <row r="8" spans="2:7" x14ac:dyDescent="0.25">
      <c r="F8" s="6" t="s">
        <v>29</v>
      </c>
      <c r="G8" s="7" t="str" cm="1">
        <f t="array" ref="G8">IF($B$2&gt;2,INDEX(Planilha1!A:D,Planilha4!$B$2,3),"-")</f>
        <v>Auxiliar Administrativo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rop Down 1">
              <controlPr defaultSize="0" autoLine="0" autoPict="0">
                <anchor moveWithCells="1">
                  <from>
                    <xdr:col>5</xdr:col>
                    <xdr:colOff>19050</xdr:colOff>
                    <xdr:row>2</xdr:row>
                    <xdr:rowOff>28575</xdr:rowOff>
                  </from>
                  <to>
                    <xdr:col>8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Botão7_Clique">
                <anchor moveWithCells="1" sizeWithCells="1">
                  <from>
                    <xdr:col>5</xdr:col>
                    <xdr:colOff>666750</xdr:colOff>
                    <xdr:row>9</xdr:row>
                    <xdr:rowOff>9525</xdr:rowOff>
                  </from>
                  <to>
                    <xdr:col>7</xdr:col>
                    <xdr:colOff>485775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PIRES NOVAKOSKI</dc:creator>
  <cp:lastModifiedBy>GUSTAVO PIRES NOVAKOSKI</cp:lastModifiedBy>
  <dcterms:created xsi:type="dcterms:W3CDTF">2023-09-10T21:23:18Z</dcterms:created>
  <dcterms:modified xsi:type="dcterms:W3CDTF">2023-09-10T22:20:09Z</dcterms:modified>
</cp:coreProperties>
</file>